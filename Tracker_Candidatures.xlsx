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orianreche/Downloads/"/>
    </mc:Choice>
  </mc:AlternateContent>
  <xr:revisionPtr revIDLastSave="0" documentId="13_ncr:1_{21F09B79-EB55-4B44-9224-DEF587DE4D67}" xr6:coauthVersionLast="47" xr6:coauthVersionMax="47" xr10:uidLastSave="{00000000-0000-0000-0000-000000000000}"/>
  <bookViews>
    <workbookView xWindow="0" yWindow="500" windowWidth="28800" windowHeight="16040" activeTab="2" xr2:uid="{00000000-000D-0000-FFFF-FFFF00000000}"/>
  </bookViews>
  <sheets>
    <sheet name="Candidatures" sheetId="1" r:id="rId1"/>
    <sheet name="Réseau" sheetId="3" r:id="rId2"/>
    <sheet name="Dashboard" sheetId="5" r:id="rId3"/>
    <sheet name="Wishlist" sheetId="2" r:id="rId4"/>
    <sheet name="Conseil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D11" i="5" s="1"/>
  <c r="C9" i="5"/>
  <c r="D9" i="5" s="1"/>
  <c r="C8" i="5"/>
  <c r="D8" i="5" s="1"/>
  <c r="C10" i="5"/>
  <c r="D10" i="5" s="1"/>
  <c r="C7" i="5"/>
  <c r="D7" i="5" s="1"/>
  <c r="C6" i="5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<sst xmlns="http://schemas.openxmlformats.org/spreadsheetml/2006/main" count="161" uniqueCount="118">
  <si>
    <t>SUIVI DES CANDIDATURES</t>
  </si>
  <si>
    <t>Relance après 1-2 semaines sans réponse · Clique sur le statut pour le changer</t>
  </si>
  <si>
    <t>Entreprise &amp; Poste</t>
  </si>
  <si>
    <t>Secteur</t>
  </si>
  <si>
    <t>Date candidature</t>
  </si>
  <si>
    <t>Contact RH/Manager</t>
  </si>
  <si>
    <t>Email / LinkedIn</t>
  </si>
  <si>
    <t>Lien offre</t>
  </si>
  <si>
    <t>Statut</t>
  </si>
  <si>
    <t>Date relance</t>
  </si>
  <si>
    <t>Notes</t>
  </si>
  <si>
    <t>Entreprise — Poste</t>
  </si>
  <si>
    <t>Finance</t>
  </si>
  <si>
    <t>Prénom RH</t>
  </si>
  <si>
    <t>email@ex.fr</t>
  </si>
  <si>
    <t>https://lien-offre.fr</t>
  </si>
  <si>
    <t>En attente</t>
  </si>
  <si>
    <t>Conseil</t>
  </si>
  <si>
    <t>Prénom Manager</t>
  </si>
  <si>
    <t>Entretien 🔥</t>
  </si>
  <si>
    <t>Entretien le 10/09</t>
  </si>
  <si>
    <t>Luxe</t>
  </si>
  <si>
    <t>Refusé</t>
  </si>
  <si>
    <t>Budget gelé</t>
  </si>
  <si>
    <t>Tech</t>
  </si>
  <si>
    <t>À relancer</t>
  </si>
  <si>
    <t>Industrie</t>
  </si>
  <si>
    <t>Obtenu 🎉</t>
  </si>
  <si>
    <t>Réponse le 15/09 !</t>
  </si>
  <si>
    <t>WISHLIST ENTREPRISES</t>
  </si>
  <si>
    <t>Organise tes cibles par secteur et priorité</t>
  </si>
  <si>
    <t>Entreprise</t>
  </si>
  <si>
    <t>Poste visé #1</t>
  </si>
  <si>
    <t>Poste visé #2</t>
  </si>
  <si>
    <t>Contact ?</t>
  </si>
  <si>
    <t>Priorité (1-3)</t>
  </si>
  <si>
    <t>Entreprise A</t>
  </si>
  <si>
    <t>Finance / Conseil</t>
  </si>
  <si>
    <t>Analyste financier</t>
  </si>
  <si>
    <t>M&amp;A Analyst</t>
  </si>
  <si>
    <t>Non</t>
  </si>
  <si>
    <t>Entreprise B</t>
  </si>
  <si>
    <t>Contrôleur de gestion</t>
  </si>
  <si>
    <t>Business Analyst</t>
  </si>
  <si>
    <t>Oui — alumni</t>
  </si>
  <si>
    <t>Demander intro à [Prénom]</t>
  </si>
  <si>
    <t>Entreprise C</t>
  </si>
  <si>
    <t>Chef de produit</t>
  </si>
  <si>
    <t>Entreprise D</t>
  </si>
  <si>
    <t>Business Developer</t>
  </si>
  <si>
    <t>Marketing</t>
  </si>
  <si>
    <t>SUIVI RÉSEAU</t>
  </si>
  <si>
    <t>Alumni, contacts LinkedIn, entourage — chaque personne est une opportunité</t>
  </si>
  <si>
    <t>Prénom Nom</t>
  </si>
  <si>
    <t>Société</t>
  </si>
  <si>
    <t>Poste</t>
  </si>
  <si>
    <t>Comment connu</t>
  </si>
  <si>
    <t>Date contact</t>
  </si>
  <si>
    <t>Prochaine étape</t>
  </si>
  <si>
    <t>Prénom Alumni</t>
  </si>
  <si>
    <t>Entreprise X</t>
  </si>
  <si>
    <t>Alumni école</t>
  </si>
  <si>
    <t>Contacté</t>
  </si>
  <si>
    <t>Attendre réponse (relance le 15/09)</t>
  </si>
  <si>
    <t>Prénom Contact</t>
  </si>
  <si>
    <t>Entreprise Y</t>
  </si>
  <si>
    <t>Directeur</t>
  </si>
  <si>
    <t>Famille</t>
  </si>
  <si>
    <t>En échange</t>
  </si>
  <si>
    <t>Envoyer CV après call</t>
  </si>
  <si>
    <t>Prénom Voisin</t>
  </si>
  <si>
    <t>Entreprise Z</t>
  </si>
  <si>
    <t>Comptable</t>
  </si>
  <si>
    <t>Entourage</t>
  </si>
  <si>
    <t>À contacter</t>
  </si>
  <si>
    <t>Mentionner lors dîner famille</t>
  </si>
  <si>
    <t>RAPPELS ESSENTIELS — À RELIRE AVANT CHAQUE CANDIDATURE</t>
  </si>
  <si>
    <t>📄 CV</t>
  </si>
  <si>
    <t>Accroche personnalisée</t>
  </si>
  <si>
    <t>Mentionner le nom de l'entreprise dans chaque accroche. Ex : 'je cherche un stage chez [Entreprise cible]'</t>
  </si>
  <si>
    <t>Nom du fichier</t>
  </si>
  <si>
    <t>Toujours : NOM Prénom CV.pdf — jamais cv_final_v2.pdf</t>
  </si>
  <si>
    <t>Expériences chiffrées</t>
  </si>
  <si>
    <t>Chaque bullet point doit avoir un chiffre. Pas de colonne 'Skills' avec des qualités non démontrées.</t>
  </si>
  <si>
    <t>Langues</t>
  </si>
  <si>
    <t>Pas de jauges ni d'étoiles. Écrire : Maternelle, Bilingue, Courant, Intermédiaire (B2), Notions.</t>
  </si>
  <si>
    <t>🔍 Candidature</t>
  </si>
  <si>
    <t>Nom visible sur l'offre</t>
  </si>
  <si>
    <t>Envoyer OBLIGATOIREMENT un message LinkedIn ou email à la personne, en plus de la candidature</t>
  </si>
  <si>
    <t>Relance</t>
  </si>
  <si>
    <t>Au bout d'1 à 2 semaines sans réponse. C'est ok — tout le monde relance.</t>
  </si>
  <si>
    <t>Tracker</t>
  </si>
  <si>
    <t>Ajouter chaque candidature dans l'onglet 'Candidatures' pour ne jamais oublier de relancer</t>
  </si>
  <si>
    <t>🤝 Réseau</t>
  </si>
  <si>
    <t>Alumni</t>
  </si>
  <si>
    <t>Chercher sur LinkedIn des alumni qui occupent ton poste de rêve. Demander 20 min d'échange.</t>
  </si>
  <si>
    <t>Dire à tout le monde ce que tu cherches. 50% des emplois viennent d'offres jamais publiées.</t>
  </si>
  <si>
    <t>1er message</t>
  </si>
  <si>
    <t>Ne pas demander le stage au 1er message. Demander un retour d'expérience sur leur parcours.</t>
  </si>
  <si>
    <t>🏆 Entretien</t>
  </si>
  <si>
    <t>Préparer l'entreprise</t>
  </si>
  <si>
    <t>Lire la rubrique Presse/Actualités. Citer une actu récente = top 1% des candidats</t>
  </si>
  <si>
    <t>Apparence</t>
  </si>
  <si>
    <t>Tenue professionnelle, 2 CV imprimés, carnet + stylo. Calendrier si alternance.</t>
  </si>
  <si>
    <t>Répondeur</t>
  </si>
  <si>
    <t>Message sobre : 'Bonjour, messagerie de [Prénom Nom], laissez un message.' Rien d'autre.</t>
  </si>
  <si>
    <t>Remerciement post-entretien</t>
  </si>
  <si>
    <t>Mail dans les 24h (pas la nuit, programme-le). Court, sincère, mémorable.</t>
  </si>
  <si>
    <t>📊 RÉSUMÉ DES PERFORMANCES</t>
  </si>
  <si>
    <t xml:space="preserve">Date relance </t>
  </si>
  <si>
    <t>Indicateur</t>
  </si>
  <si>
    <t>Valeur</t>
  </si>
  <si>
    <t>%</t>
  </si>
  <si>
    <t>Total Candidatures</t>
  </si>
  <si>
    <t>Entretiens décrochés</t>
  </si>
  <si>
    <t>Refus</t>
  </si>
  <si>
    <t>Taux de succès</t>
  </si>
  <si>
    <t>candi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</si>
</sst>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888888"/>
      <name val="Calibri"/>
      <family val="2"/>
    </font>
    <font>
      <b/>
      <sz val="10"/>
      <color rgb="FFFFFFFF"/>
      <name val="Calibri"/>
      <family val="2"/>
    </font>
    <font>
      <b/>
      <sz val="10"/>
      <color rgb="FF1A3263"/>
      <name val="Calibri"/>
      <family val="2"/>
    </font>
    <font>
      <sz val="10"/>
      <color rgb="FF333333"/>
      <name val="Calibri"/>
      <family val="2"/>
    </font>
    <font>
      <b/>
      <sz val="10"/>
      <color rgb="FFB45309"/>
      <name val="Calibri"/>
      <family val="2"/>
    </font>
    <font>
      <b/>
      <sz val="10"/>
      <color rgb="FFC0392B"/>
      <name val="Calibri"/>
      <family val="2"/>
    </font>
    <font>
      <b/>
      <sz val="10"/>
      <color rgb="FF2E4D8A"/>
      <name val="Calibri"/>
      <family val="2"/>
    </font>
    <font>
      <b/>
      <sz val="10"/>
      <color rgb="FF1B7A5A"/>
      <name val="Calibri"/>
      <family val="2"/>
    </font>
    <font>
      <b/>
      <sz val="10"/>
      <color rgb="FF888888"/>
      <name val="Calibri"/>
      <family val="2"/>
    </font>
    <font>
      <b/>
      <sz val="10"/>
      <color rgb="FF555555"/>
      <name val="Calibri"/>
      <family val="2"/>
    </font>
    <font>
      <b/>
      <sz val="14"/>
      <color rgb="FFFFFFFF"/>
      <name val="Calibri"/>
      <family val="2"/>
    </font>
    <font>
      <b/>
      <sz val="10"/>
      <color rgb="FF333333"/>
      <name val="Calibri"/>
      <family val="2"/>
    </font>
    <font>
      <sz val="10"/>
      <color rgb="FF444444"/>
      <name val="Calibri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A3263"/>
      </patternFill>
    </fill>
    <fill>
      <patternFill patternType="solid">
        <fgColor rgb="FFF5F0E8"/>
      </patternFill>
    </fill>
    <fill>
      <patternFill patternType="solid">
        <fgColor rgb="FF2E4D8A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8F6F1"/>
      </patternFill>
    </fill>
    <fill>
      <patternFill patternType="solid">
        <fgColor rgb="FFE0EDFF"/>
      </patternFill>
    </fill>
    <fill>
      <patternFill patternType="solid">
        <fgColor rgb="FFFCECEA"/>
      </patternFill>
    </fill>
    <fill>
      <patternFill patternType="solid">
        <fgColor rgb="FFD8E8FF"/>
      </patternFill>
    </fill>
    <fill>
      <patternFill patternType="solid">
        <fgColor rgb="FFE6F4ED"/>
      </patternFill>
    </fill>
    <fill>
      <patternFill patternType="solid">
        <fgColor rgb="FFFAFAFA"/>
      </patternFill>
    </fill>
    <fill>
      <patternFill patternType="solid">
        <fgColor rgb="FFF8F8FF"/>
      </patternFill>
    </fill>
    <fill>
      <patternFill patternType="solid">
        <fgColor rgb="FFEEF4FF"/>
      </patternFill>
    </fill>
    <fill>
      <patternFill patternType="solid">
        <fgColor rgb="FFF0FFF8"/>
      </patternFill>
    </fill>
    <fill>
      <patternFill patternType="solid">
        <fgColor rgb="FFFFFBEE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164" fontId="5" fillId="5" borderId="2" xfId="0" applyNumberFormat="1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164" fontId="5" fillId="7" borderId="2" xfId="0" applyNumberFormat="1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0" fillId="5" borderId="2" xfId="0" applyFill="1" applyBorder="1"/>
    <xf numFmtId="0" fontId="7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4" fillId="14" borderId="2" xfId="0" applyFont="1" applyFill="1" applyBorder="1" applyAlignment="1">
      <alignment vertical="center" wrapText="1"/>
    </xf>
    <xf numFmtId="0" fontId="14" fillId="14" borderId="2" xfId="0" applyFont="1" applyFill="1" applyBorder="1" applyAlignment="1">
      <alignment vertical="center" wrapText="1"/>
    </xf>
    <xf numFmtId="0" fontId="9" fillId="15" borderId="2" xfId="0" applyFont="1" applyFill="1" applyBorder="1" applyAlignment="1">
      <alignment vertical="center" wrapText="1"/>
    </xf>
    <xf numFmtId="0" fontId="14" fillId="15" borderId="2" xfId="0" applyFont="1" applyFill="1" applyBorder="1" applyAlignment="1">
      <alignment vertical="center" wrapText="1"/>
    </xf>
    <xf numFmtId="0" fontId="6" fillId="16" borderId="2" xfId="0" applyFont="1" applyFill="1" applyBorder="1" applyAlignment="1">
      <alignment vertical="center" wrapText="1"/>
    </xf>
    <xf numFmtId="0" fontId="14" fillId="16" borderId="2" xfId="0" applyFont="1" applyFill="1" applyBorder="1" applyAlignment="1">
      <alignment vertical="center" wrapText="1"/>
    </xf>
    <xf numFmtId="0" fontId="7" fillId="17" borderId="2" xfId="0" applyFont="1" applyFill="1" applyBorder="1" applyAlignment="1">
      <alignment vertical="center" wrapText="1"/>
    </xf>
    <xf numFmtId="0" fontId="14" fillId="17" borderId="2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9" fontId="5" fillId="7" borderId="2" xfId="0" applyNumberFormat="1" applyFont="1" applyFill="1" applyBorder="1" applyAlignment="1">
      <alignment vertical="center" wrapText="1"/>
    </xf>
    <xf numFmtId="9" fontId="5" fillId="5" borderId="2" xfId="1" applyFont="1" applyFill="1" applyBorder="1" applyAlignment="1">
      <alignment vertical="center" wrapText="1"/>
    </xf>
    <xf numFmtId="9" fontId="5" fillId="7" borderId="2" xfId="1" applyFont="1" applyFill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9"/>
  <sheetViews>
    <sheetView showGridLines="0" topLeftCell="A5" workbookViewId="0">
      <selection activeCell="H8" sqref="H8"/>
    </sheetView>
  </sheetViews>
  <sheetFormatPr baseColWidth="10" defaultColWidth="8.83203125" defaultRowHeight="15" x14ac:dyDescent="0.2"/>
  <cols>
    <col min="2" max="2" width="28" customWidth="1"/>
    <col min="3" max="4" width="14" customWidth="1"/>
    <col min="5" max="5" width="18" customWidth="1"/>
    <col min="6" max="6" width="26" customWidth="1"/>
    <col min="7" max="7" width="28" customWidth="1"/>
    <col min="8" max="8" width="14" customWidth="1"/>
    <col min="9" max="9" width="13" customWidth="1"/>
    <col min="10" max="10" width="28" customWidth="1"/>
  </cols>
  <sheetData>
    <row r="1" spans="2:10" ht="36" customHeight="1" x14ac:dyDescent="0.2">
      <c r="B1" s="35" t="s">
        <v>0</v>
      </c>
      <c r="C1" s="34"/>
      <c r="D1" s="34"/>
      <c r="E1" s="34"/>
      <c r="F1" s="34"/>
      <c r="G1" s="34"/>
      <c r="H1" s="34"/>
      <c r="I1" s="34"/>
      <c r="J1" s="34"/>
    </row>
    <row r="2" spans="2:10" ht="20" customHeight="1" x14ac:dyDescent="0.2">
      <c r="B2" s="33" t="s">
        <v>1</v>
      </c>
      <c r="C2" s="34"/>
      <c r="D2" s="34"/>
      <c r="E2" s="34"/>
      <c r="F2" s="34"/>
      <c r="G2" s="34"/>
      <c r="H2" s="34"/>
      <c r="I2" s="34"/>
      <c r="J2" s="34"/>
    </row>
    <row r="3" spans="2:10" ht="10" customHeight="1" x14ac:dyDescent="0.2"/>
    <row r="4" spans="2:10" ht="28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2:10" ht="22" customHeight="1" x14ac:dyDescent="0.2">
      <c r="B5" s="2" t="s">
        <v>11</v>
      </c>
      <c r="C5" s="3" t="s">
        <v>12</v>
      </c>
      <c r="D5" s="4">
        <v>45901</v>
      </c>
      <c r="E5" s="3" t="s">
        <v>13</v>
      </c>
      <c r="F5" s="3" t="s">
        <v>14</v>
      </c>
      <c r="G5" s="3" t="s">
        <v>15</v>
      </c>
      <c r="H5" s="5" t="s">
        <v>16</v>
      </c>
      <c r="I5" s="4">
        <f>D5+14</f>
        <v>45915</v>
      </c>
      <c r="J5" s="3"/>
    </row>
    <row r="6" spans="2:10" ht="22" customHeight="1" x14ac:dyDescent="0.2">
      <c r="B6" s="6" t="s">
        <v>11</v>
      </c>
      <c r="C6" s="7" t="s">
        <v>17</v>
      </c>
      <c r="D6" s="8">
        <v>45903</v>
      </c>
      <c r="E6" s="7" t="s">
        <v>18</v>
      </c>
      <c r="F6" s="7"/>
      <c r="G6" s="7"/>
      <c r="H6" s="9" t="s">
        <v>19</v>
      </c>
      <c r="I6" s="4">
        <f>D6+14</f>
        <v>45917</v>
      </c>
      <c r="J6" s="7" t="s">
        <v>20</v>
      </c>
    </row>
    <row r="7" spans="2:10" ht="22" customHeight="1" x14ac:dyDescent="0.2">
      <c r="B7" s="2" t="s">
        <v>11</v>
      </c>
      <c r="C7" s="3" t="s">
        <v>21</v>
      </c>
      <c r="D7" s="4">
        <v>45905</v>
      </c>
      <c r="E7" s="3"/>
      <c r="F7" s="3"/>
      <c r="G7" s="3"/>
      <c r="H7" s="10" t="s">
        <v>22</v>
      </c>
      <c r="I7" s="4">
        <f t="shared" ref="I7:I39" si="0">D7+14</f>
        <v>45919</v>
      </c>
      <c r="J7" s="3" t="s">
        <v>23</v>
      </c>
    </row>
    <row r="8" spans="2:10" ht="22" customHeight="1" x14ac:dyDescent="0.2">
      <c r="B8" s="6" t="s">
        <v>11</v>
      </c>
      <c r="C8" s="7" t="s">
        <v>24</v>
      </c>
      <c r="D8" s="8">
        <v>45907</v>
      </c>
      <c r="E8" s="7"/>
      <c r="F8" s="7"/>
      <c r="G8" s="7"/>
      <c r="H8" s="11" t="s">
        <v>25</v>
      </c>
      <c r="I8" s="4">
        <f t="shared" si="0"/>
        <v>45921</v>
      </c>
      <c r="J8" s="7"/>
    </row>
    <row r="9" spans="2:10" ht="22" customHeight="1" x14ac:dyDescent="0.2">
      <c r="B9" s="2" t="s">
        <v>11</v>
      </c>
      <c r="C9" s="3" t="s">
        <v>26</v>
      </c>
      <c r="D9" s="4">
        <v>45909</v>
      </c>
      <c r="E9" s="3"/>
      <c r="F9" s="3"/>
      <c r="G9" s="3"/>
      <c r="H9" s="12" t="s">
        <v>27</v>
      </c>
      <c r="I9" s="4">
        <f t="shared" si="0"/>
        <v>45923</v>
      </c>
      <c r="J9" s="3" t="s">
        <v>28</v>
      </c>
    </row>
    <row r="10" spans="2:10" ht="22" customHeight="1" x14ac:dyDescent="0.2">
      <c r="B10" s="13"/>
      <c r="C10" s="13"/>
      <c r="D10" s="13"/>
      <c r="E10" s="13"/>
      <c r="F10" s="13"/>
      <c r="G10" s="13"/>
      <c r="H10" s="13"/>
      <c r="I10" s="4">
        <f t="shared" si="0"/>
        <v>14</v>
      </c>
      <c r="J10" s="13"/>
    </row>
    <row r="11" spans="2:10" ht="22" customHeight="1" x14ac:dyDescent="0.2">
      <c r="B11" s="14"/>
      <c r="C11" s="14"/>
      <c r="D11" s="14"/>
      <c r="E11" s="14"/>
      <c r="F11" s="14"/>
      <c r="G11" s="14"/>
      <c r="H11" s="14"/>
      <c r="I11" s="4">
        <f t="shared" si="0"/>
        <v>14</v>
      </c>
      <c r="J11" s="14"/>
    </row>
    <row r="12" spans="2:10" ht="22" customHeight="1" x14ac:dyDescent="0.2">
      <c r="B12" s="13"/>
      <c r="C12" s="13"/>
      <c r="D12" s="13"/>
      <c r="E12" s="13"/>
      <c r="F12" s="13"/>
      <c r="G12" s="13"/>
      <c r="H12" s="13"/>
      <c r="I12" s="4">
        <f t="shared" si="0"/>
        <v>14</v>
      </c>
      <c r="J12" s="13"/>
    </row>
    <row r="13" spans="2:10" ht="22" customHeight="1" x14ac:dyDescent="0.2">
      <c r="B13" s="14"/>
      <c r="C13" s="14"/>
      <c r="D13" s="14"/>
      <c r="E13" s="14"/>
      <c r="F13" s="14"/>
      <c r="G13" s="14"/>
      <c r="H13" s="14"/>
      <c r="I13" s="4">
        <f t="shared" si="0"/>
        <v>14</v>
      </c>
      <c r="J13" s="14"/>
    </row>
    <row r="14" spans="2:10" ht="22" customHeight="1" x14ac:dyDescent="0.2">
      <c r="B14" s="13"/>
      <c r="C14" s="13"/>
      <c r="D14" s="13"/>
      <c r="E14" s="13"/>
      <c r="F14" s="13"/>
      <c r="G14" s="13"/>
      <c r="H14" s="13"/>
      <c r="I14" s="4">
        <f t="shared" si="0"/>
        <v>14</v>
      </c>
      <c r="J14" s="13"/>
    </row>
    <row r="15" spans="2:10" ht="22" customHeight="1" x14ac:dyDescent="0.2">
      <c r="B15" s="14"/>
      <c r="C15" s="14"/>
      <c r="D15" s="14"/>
      <c r="E15" s="14"/>
      <c r="F15" s="14"/>
      <c r="G15" s="14"/>
      <c r="H15" s="14"/>
      <c r="I15" s="4">
        <f t="shared" si="0"/>
        <v>14</v>
      </c>
      <c r="J15" s="14"/>
    </row>
    <row r="16" spans="2:10" ht="22" customHeight="1" x14ac:dyDescent="0.2">
      <c r="B16" s="13"/>
      <c r="C16" s="13"/>
      <c r="D16" s="13"/>
      <c r="E16" s="13"/>
      <c r="F16" s="13"/>
      <c r="G16" s="13"/>
      <c r="H16" s="13"/>
      <c r="I16" s="4">
        <f t="shared" si="0"/>
        <v>14</v>
      </c>
      <c r="J16" s="13"/>
    </row>
    <row r="17" spans="2:10" ht="22" customHeight="1" x14ac:dyDescent="0.2">
      <c r="B17" s="14"/>
      <c r="C17" s="14"/>
      <c r="D17" s="14"/>
      <c r="E17" s="14"/>
      <c r="F17" s="14"/>
      <c r="G17" s="14"/>
      <c r="H17" s="14"/>
      <c r="I17" s="4">
        <f t="shared" si="0"/>
        <v>14</v>
      </c>
      <c r="J17" s="14"/>
    </row>
    <row r="18" spans="2:10" ht="22" customHeight="1" x14ac:dyDescent="0.2">
      <c r="B18" s="13"/>
      <c r="C18" s="13"/>
      <c r="D18" s="13"/>
      <c r="E18" s="13"/>
      <c r="F18" s="13"/>
      <c r="G18" s="13"/>
      <c r="H18" s="13"/>
      <c r="I18" s="4">
        <f t="shared" si="0"/>
        <v>14</v>
      </c>
      <c r="J18" s="13"/>
    </row>
    <row r="19" spans="2:10" ht="22" customHeight="1" x14ac:dyDescent="0.2">
      <c r="B19" s="14"/>
      <c r="C19" s="14"/>
      <c r="D19" s="14"/>
      <c r="E19" s="14"/>
      <c r="F19" s="14"/>
      <c r="G19" s="14"/>
      <c r="H19" s="14"/>
      <c r="I19" s="4">
        <f t="shared" si="0"/>
        <v>14</v>
      </c>
      <c r="J19" s="14"/>
    </row>
    <row r="20" spans="2:10" ht="22" customHeight="1" x14ac:dyDescent="0.2">
      <c r="B20" s="13"/>
      <c r="C20" s="13"/>
      <c r="D20" s="13"/>
      <c r="E20" s="13"/>
      <c r="F20" s="13"/>
      <c r="G20" s="13"/>
      <c r="H20" s="13"/>
      <c r="I20" s="4">
        <f t="shared" si="0"/>
        <v>14</v>
      </c>
      <c r="J20" s="13"/>
    </row>
    <row r="21" spans="2:10" ht="22" customHeight="1" x14ac:dyDescent="0.2">
      <c r="B21" s="14"/>
      <c r="C21" s="14"/>
      <c r="D21" s="14"/>
      <c r="E21" s="14"/>
      <c r="F21" s="14"/>
      <c r="G21" s="14"/>
      <c r="H21" s="14"/>
      <c r="I21" s="4">
        <f t="shared" si="0"/>
        <v>14</v>
      </c>
      <c r="J21" s="14"/>
    </row>
    <row r="22" spans="2:10" ht="22" customHeight="1" x14ac:dyDescent="0.2">
      <c r="B22" s="13"/>
      <c r="C22" s="13"/>
      <c r="D22" s="13"/>
      <c r="E22" s="13"/>
      <c r="F22" s="13"/>
      <c r="G22" s="13"/>
      <c r="H22" s="13"/>
      <c r="I22" s="4">
        <f t="shared" si="0"/>
        <v>14</v>
      </c>
      <c r="J22" s="13"/>
    </row>
    <row r="23" spans="2:10" ht="22" customHeight="1" x14ac:dyDescent="0.2">
      <c r="B23" s="14"/>
      <c r="C23" s="14"/>
      <c r="D23" s="14"/>
      <c r="E23" s="14"/>
      <c r="F23" s="14"/>
      <c r="G23" s="14"/>
      <c r="H23" s="14"/>
      <c r="I23" s="4">
        <f t="shared" si="0"/>
        <v>14</v>
      </c>
      <c r="J23" s="14"/>
    </row>
    <row r="24" spans="2:10" ht="22" customHeight="1" x14ac:dyDescent="0.2">
      <c r="B24" s="13"/>
      <c r="C24" s="13"/>
      <c r="D24" s="13"/>
      <c r="E24" s="13"/>
      <c r="F24" s="13"/>
      <c r="G24" s="13"/>
      <c r="H24" s="13"/>
      <c r="I24" s="4">
        <f t="shared" si="0"/>
        <v>14</v>
      </c>
      <c r="J24" s="13"/>
    </row>
    <row r="25" spans="2:10" ht="22" customHeight="1" x14ac:dyDescent="0.2">
      <c r="B25" s="14"/>
      <c r="C25" s="14"/>
      <c r="D25" s="14"/>
      <c r="E25" s="14"/>
      <c r="F25" s="14"/>
      <c r="G25" s="14"/>
      <c r="H25" s="14"/>
      <c r="I25" s="4">
        <f t="shared" si="0"/>
        <v>14</v>
      </c>
      <c r="J25" s="14"/>
    </row>
    <row r="26" spans="2:10" ht="22" customHeight="1" x14ac:dyDescent="0.2">
      <c r="B26" s="13"/>
      <c r="C26" s="13"/>
      <c r="D26" s="13"/>
      <c r="E26" s="13"/>
      <c r="F26" s="13"/>
      <c r="G26" s="13"/>
      <c r="H26" s="13"/>
      <c r="I26" s="4">
        <f t="shared" si="0"/>
        <v>14</v>
      </c>
      <c r="J26" s="13"/>
    </row>
    <row r="27" spans="2:10" ht="22" customHeight="1" x14ac:dyDescent="0.2">
      <c r="B27" s="14"/>
      <c r="C27" s="14"/>
      <c r="D27" s="14"/>
      <c r="E27" s="14"/>
      <c r="F27" s="14"/>
      <c r="G27" s="14"/>
      <c r="H27" s="14"/>
      <c r="I27" s="4">
        <f t="shared" si="0"/>
        <v>14</v>
      </c>
      <c r="J27" s="14"/>
    </row>
    <row r="28" spans="2:10" ht="22" customHeight="1" x14ac:dyDescent="0.2">
      <c r="B28" s="13"/>
      <c r="C28" s="13"/>
      <c r="D28" s="13"/>
      <c r="E28" s="13"/>
      <c r="F28" s="13"/>
      <c r="G28" s="13"/>
      <c r="H28" s="13"/>
      <c r="I28" s="4">
        <f t="shared" si="0"/>
        <v>14</v>
      </c>
      <c r="J28" s="13"/>
    </row>
    <row r="29" spans="2:10" ht="22" customHeight="1" x14ac:dyDescent="0.2">
      <c r="B29" s="14"/>
      <c r="C29" s="14"/>
      <c r="D29" s="14"/>
      <c r="E29" s="14"/>
      <c r="F29" s="14"/>
      <c r="G29" s="14"/>
      <c r="H29" s="14"/>
      <c r="I29" s="4">
        <f t="shared" si="0"/>
        <v>14</v>
      </c>
      <c r="J29" s="14"/>
    </row>
    <row r="30" spans="2:10" ht="22" customHeight="1" x14ac:dyDescent="0.2">
      <c r="B30" s="13"/>
      <c r="C30" s="13"/>
      <c r="D30" s="13"/>
      <c r="E30" s="13"/>
      <c r="F30" s="13"/>
      <c r="G30" s="13"/>
      <c r="H30" s="13"/>
      <c r="I30" s="4">
        <f t="shared" si="0"/>
        <v>14</v>
      </c>
      <c r="J30" s="13"/>
    </row>
    <row r="31" spans="2:10" ht="22" customHeight="1" x14ac:dyDescent="0.2">
      <c r="B31" s="14"/>
      <c r="C31" s="14"/>
      <c r="D31" s="14"/>
      <c r="E31" s="14"/>
      <c r="F31" s="14"/>
      <c r="G31" s="14"/>
      <c r="H31" s="14"/>
      <c r="I31" s="4">
        <f t="shared" si="0"/>
        <v>14</v>
      </c>
      <c r="J31" s="14"/>
    </row>
    <row r="32" spans="2:10" ht="22" customHeight="1" x14ac:dyDescent="0.2">
      <c r="B32" s="13"/>
      <c r="C32" s="13"/>
      <c r="D32" s="13"/>
      <c r="E32" s="13"/>
      <c r="F32" s="13"/>
      <c r="G32" s="13"/>
      <c r="H32" s="13"/>
      <c r="I32" s="4">
        <f t="shared" si="0"/>
        <v>14</v>
      </c>
      <c r="J32" s="13"/>
    </row>
    <row r="33" spans="2:10" ht="22" customHeight="1" x14ac:dyDescent="0.2">
      <c r="B33" s="14"/>
      <c r="C33" s="14"/>
      <c r="D33" s="14"/>
      <c r="E33" s="14"/>
      <c r="F33" s="14"/>
      <c r="G33" s="14"/>
      <c r="H33" s="14"/>
      <c r="I33" s="4">
        <f t="shared" si="0"/>
        <v>14</v>
      </c>
      <c r="J33" s="14"/>
    </row>
    <row r="34" spans="2:10" ht="22" customHeight="1" x14ac:dyDescent="0.2">
      <c r="B34" s="13"/>
      <c r="C34" s="13"/>
      <c r="D34" s="13"/>
      <c r="E34" s="13"/>
      <c r="F34" s="13"/>
      <c r="G34" s="13"/>
      <c r="H34" s="13"/>
      <c r="I34" s="4">
        <f t="shared" si="0"/>
        <v>14</v>
      </c>
      <c r="J34" s="13"/>
    </row>
    <row r="35" spans="2:10" ht="22" customHeight="1" x14ac:dyDescent="0.2">
      <c r="B35" s="14"/>
      <c r="C35" s="14"/>
      <c r="D35" s="14"/>
      <c r="E35" s="14"/>
      <c r="F35" s="14"/>
      <c r="G35" s="14"/>
      <c r="H35" s="14"/>
      <c r="I35" s="4">
        <f t="shared" si="0"/>
        <v>14</v>
      </c>
      <c r="J35" s="14"/>
    </row>
    <row r="36" spans="2:10" ht="22" customHeight="1" x14ac:dyDescent="0.2">
      <c r="B36" s="13"/>
      <c r="C36" s="13"/>
      <c r="D36" s="13"/>
      <c r="E36" s="13"/>
      <c r="F36" s="13"/>
      <c r="G36" s="13"/>
      <c r="H36" s="13"/>
      <c r="I36" s="4">
        <f t="shared" si="0"/>
        <v>14</v>
      </c>
      <c r="J36" s="13"/>
    </row>
    <row r="37" spans="2:10" ht="22" customHeight="1" x14ac:dyDescent="0.2">
      <c r="B37" s="14"/>
      <c r="C37" s="14"/>
      <c r="D37" s="14"/>
      <c r="E37" s="14"/>
      <c r="F37" s="14"/>
      <c r="G37" s="14"/>
      <c r="H37" s="14"/>
      <c r="I37" s="4">
        <f t="shared" si="0"/>
        <v>14</v>
      </c>
      <c r="J37" s="14"/>
    </row>
    <row r="38" spans="2:10" ht="22" customHeight="1" x14ac:dyDescent="0.2">
      <c r="B38" s="13"/>
      <c r="C38" s="13"/>
      <c r="D38" s="13"/>
      <c r="E38" s="13"/>
      <c r="F38" s="13"/>
      <c r="G38" s="13"/>
      <c r="H38" s="13"/>
      <c r="I38" s="4">
        <f t="shared" si="0"/>
        <v>14</v>
      </c>
      <c r="J38" s="13"/>
    </row>
    <row r="39" spans="2:10" ht="22" customHeight="1" x14ac:dyDescent="0.2">
      <c r="B39" s="14"/>
      <c r="C39" s="14"/>
      <c r="D39" s="14"/>
      <c r="E39" s="14"/>
      <c r="F39" s="14"/>
      <c r="G39" s="14"/>
      <c r="H39" s="14"/>
      <c r="I39" s="4">
        <f t="shared" si="0"/>
        <v>14</v>
      </c>
      <c r="J39" s="14"/>
    </row>
  </sheetData>
  <mergeCells count="2">
    <mergeCell ref="B1:J1"/>
    <mergeCell ref="B2:J2"/>
  </mergeCells>
  <dataValidations count="1">
    <dataValidation type="list" sqref="H5:H50" xr:uid="{00000000-0002-0000-0000-000000000000}">
      <formula1>"Nouveau lead,En attente,À relancer,Entretien 🔥,Refusé,Obtenu 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J24"/>
  <sheetViews>
    <sheetView showGridLines="0" workbookViewId="0">
      <selection activeCell="B9" sqref="B9"/>
    </sheetView>
  </sheetViews>
  <sheetFormatPr baseColWidth="10" defaultColWidth="8.83203125" defaultRowHeight="15" x14ac:dyDescent="0.2"/>
  <cols>
    <col min="2" max="2" width="22" customWidth="1"/>
    <col min="3" max="3" width="20" customWidth="1"/>
    <col min="4" max="4" width="22" customWidth="1"/>
    <col min="5" max="5" width="18" customWidth="1"/>
    <col min="6" max="7" width="14" customWidth="1"/>
    <col min="8" max="8" width="16" customWidth="1"/>
    <col min="9" max="9" width="26" customWidth="1"/>
    <col min="10" max="10" width="28" customWidth="1"/>
  </cols>
  <sheetData>
    <row r="1" spans="2:10" ht="36" customHeight="1" x14ac:dyDescent="0.2">
      <c r="B1" s="35" t="s">
        <v>51</v>
      </c>
      <c r="C1" s="34"/>
      <c r="D1" s="34"/>
      <c r="E1" s="34"/>
      <c r="F1" s="34"/>
      <c r="G1" s="34"/>
      <c r="H1" s="34"/>
      <c r="I1" s="34"/>
      <c r="J1" s="34"/>
    </row>
    <row r="2" spans="2:10" ht="20" customHeight="1" x14ac:dyDescent="0.2">
      <c r="B2" s="33" t="s">
        <v>52</v>
      </c>
      <c r="C2" s="34"/>
      <c r="D2" s="34"/>
      <c r="E2" s="34"/>
      <c r="F2" s="34"/>
      <c r="G2" s="34"/>
      <c r="H2" s="34"/>
      <c r="I2" s="34"/>
      <c r="J2" s="34"/>
    </row>
    <row r="3" spans="2:10" ht="10" customHeight="1" x14ac:dyDescent="0.2"/>
    <row r="4" spans="2:10" ht="28" customHeight="1" x14ac:dyDescent="0.2"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109</v>
      </c>
      <c r="H4" s="1" t="s">
        <v>8</v>
      </c>
      <c r="I4" s="1" t="s">
        <v>58</v>
      </c>
      <c r="J4" s="1" t="s">
        <v>10</v>
      </c>
    </row>
    <row r="5" spans="2:10" ht="22" customHeight="1" x14ac:dyDescent="0.2">
      <c r="B5" s="2" t="s">
        <v>59</v>
      </c>
      <c r="C5" s="3" t="s">
        <v>60</v>
      </c>
      <c r="D5" s="3" t="s">
        <v>38</v>
      </c>
      <c r="E5" s="3" t="s">
        <v>61</v>
      </c>
      <c r="F5" s="4">
        <v>45901</v>
      </c>
      <c r="G5" s="4"/>
      <c r="H5" s="5" t="s">
        <v>62</v>
      </c>
      <c r="I5" s="3" t="s">
        <v>63</v>
      </c>
      <c r="J5" s="3"/>
    </row>
    <row r="6" spans="2:10" ht="22" customHeight="1" x14ac:dyDescent="0.2">
      <c r="B6" s="6" t="s">
        <v>64</v>
      </c>
      <c r="C6" s="7" t="s">
        <v>65</v>
      </c>
      <c r="D6" s="7" t="s">
        <v>66</v>
      </c>
      <c r="E6" s="7" t="s">
        <v>67</v>
      </c>
      <c r="F6" s="8">
        <v>45903</v>
      </c>
      <c r="G6" s="8"/>
      <c r="H6" s="9" t="s">
        <v>68</v>
      </c>
      <c r="I6" s="7" t="s">
        <v>69</v>
      </c>
      <c r="J6" s="7"/>
    </row>
    <row r="7" spans="2:10" ht="22" customHeight="1" x14ac:dyDescent="0.2">
      <c r="B7" s="2" t="s">
        <v>70</v>
      </c>
      <c r="C7" s="3" t="s">
        <v>71</v>
      </c>
      <c r="D7" s="3" t="s">
        <v>72</v>
      </c>
      <c r="E7" s="3" t="s">
        <v>73</v>
      </c>
      <c r="F7" s="3"/>
      <c r="G7" s="3"/>
      <c r="H7" s="22" t="s">
        <v>74</v>
      </c>
      <c r="I7" s="3" t="s">
        <v>75</v>
      </c>
      <c r="J7" s="3"/>
    </row>
    <row r="8" spans="2:10" ht="22" customHeight="1" x14ac:dyDescent="0.2">
      <c r="B8" s="13" t="s">
        <v>117</v>
      </c>
      <c r="C8" s="13"/>
      <c r="D8" s="13"/>
      <c r="E8" s="13"/>
      <c r="F8" s="13"/>
      <c r="G8" s="13"/>
      <c r="H8" s="13"/>
      <c r="I8" s="13"/>
      <c r="J8" s="13"/>
    </row>
    <row r="9" spans="2:10" ht="22" customHeight="1" x14ac:dyDescent="0.2">
      <c r="B9" s="14"/>
      <c r="C9" s="14"/>
      <c r="D9" s="14"/>
      <c r="E9" s="14"/>
      <c r="F9" s="14"/>
      <c r="G9" s="14"/>
      <c r="H9" s="14"/>
      <c r="I9" s="14"/>
      <c r="J9" s="14"/>
    </row>
    <row r="10" spans="2:10" ht="22" customHeight="1" x14ac:dyDescent="0.2">
      <c r="B10" s="13"/>
      <c r="C10" s="13"/>
      <c r="D10" s="13"/>
      <c r="E10" s="13"/>
      <c r="F10" s="13"/>
      <c r="G10" s="13"/>
      <c r="H10" s="13"/>
      <c r="I10" s="13"/>
      <c r="J10" s="13"/>
    </row>
    <row r="11" spans="2:10" ht="22" customHeight="1" x14ac:dyDescent="0.2">
      <c r="B11" s="14"/>
      <c r="C11" s="14"/>
      <c r="D11" s="14"/>
      <c r="E11" s="14"/>
      <c r="F11" s="14"/>
      <c r="G11" s="14"/>
      <c r="H11" s="14"/>
      <c r="I11" s="14"/>
      <c r="J11" s="14"/>
    </row>
    <row r="12" spans="2:10" ht="22" customHeight="1" x14ac:dyDescent="0.2">
      <c r="B12" s="13"/>
      <c r="C12" s="13"/>
      <c r="D12" s="13"/>
      <c r="E12" s="13"/>
      <c r="F12" s="13"/>
      <c r="G12" s="13"/>
      <c r="H12" s="13"/>
      <c r="I12" s="13"/>
      <c r="J12" s="13"/>
    </row>
    <row r="13" spans="2:10" ht="22" customHeight="1" x14ac:dyDescent="0.2">
      <c r="B13" s="14"/>
      <c r="C13" s="14"/>
      <c r="D13" s="14"/>
      <c r="E13" s="14"/>
      <c r="F13" s="14"/>
      <c r="G13" s="14"/>
      <c r="H13" s="14"/>
      <c r="I13" s="14"/>
      <c r="J13" s="14"/>
    </row>
    <row r="14" spans="2:10" ht="22" customHeight="1" x14ac:dyDescent="0.2">
      <c r="B14" s="13"/>
      <c r="C14" s="13"/>
      <c r="D14" s="13"/>
      <c r="E14" s="13"/>
      <c r="F14" s="13"/>
      <c r="G14" s="13"/>
      <c r="H14" s="13"/>
      <c r="I14" s="13"/>
      <c r="J14" s="13"/>
    </row>
    <row r="15" spans="2:10" ht="22" customHeight="1" x14ac:dyDescent="0.2">
      <c r="B15" s="14"/>
      <c r="C15" s="14"/>
      <c r="D15" s="14"/>
      <c r="E15" s="14"/>
      <c r="F15" s="14"/>
      <c r="G15" s="14"/>
      <c r="H15" s="14"/>
      <c r="I15" s="14"/>
      <c r="J15" s="14"/>
    </row>
    <row r="16" spans="2:10" ht="22" customHeight="1" x14ac:dyDescent="0.2">
      <c r="B16" s="13"/>
      <c r="C16" s="13"/>
      <c r="D16" s="13"/>
      <c r="E16" s="13"/>
      <c r="F16" s="13"/>
      <c r="G16" s="13"/>
      <c r="H16" s="13"/>
      <c r="I16" s="13"/>
      <c r="J16" s="13"/>
    </row>
    <row r="17" spans="2:10" ht="22" customHeight="1" x14ac:dyDescent="0.2">
      <c r="B17" s="14"/>
      <c r="C17" s="14"/>
      <c r="D17" s="14"/>
      <c r="E17" s="14"/>
      <c r="F17" s="14"/>
      <c r="G17" s="14"/>
      <c r="H17" s="14"/>
      <c r="I17" s="14"/>
      <c r="J17" s="14"/>
    </row>
    <row r="18" spans="2:10" ht="22" customHeight="1" x14ac:dyDescent="0.2">
      <c r="B18" s="13"/>
      <c r="C18" s="13"/>
      <c r="D18" s="13"/>
      <c r="E18" s="13"/>
      <c r="F18" s="13"/>
      <c r="G18" s="13"/>
      <c r="H18" s="13"/>
      <c r="I18" s="13"/>
      <c r="J18" s="13"/>
    </row>
    <row r="19" spans="2:10" ht="22" customHeight="1" x14ac:dyDescent="0.2">
      <c r="B19" s="14"/>
      <c r="C19" s="14"/>
      <c r="D19" s="14"/>
      <c r="E19" s="14"/>
      <c r="F19" s="14"/>
      <c r="G19" s="14"/>
      <c r="H19" s="14"/>
      <c r="I19" s="14"/>
      <c r="J19" s="14"/>
    </row>
    <row r="20" spans="2:10" ht="22" customHeight="1" x14ac:dyDescent="0.2">
      <c r="B20" s="13"/>
      <c r="C20" s="13"/>
      <c r="D20" s="13"/>
      <c r="E20" s="13"/>
      <c r="F20" s="13"/>
      <c r="G20" s="13"/>
      <c r="H20" s="13"/>
      <c r="I20" s="13"/>
      <c r="J20" s="13"/>
    </row>
    <row r="21" spans="2:10" ht="22" customHeight="1" x14ac:dyDescent="0.2">
      <c r="B21" s="14"/>
      <c r="C21" s="14"/>
      <c r="D21" s="14"/>
      <c r="E21" s="14"/>
      <c r="F21" s="14"/>
      <c r="G21" s="14"/>
      <c r="H21" s="14"/>
      <c r="I21" s="14"/>
      <c r="J21" s="14"/>
    </row>
    <row r="22" spans="2:10" ht="22" customHeight="1" x14ac:dyDescent="0.2">
      <c r="B22" s="13"/>
      <c r="C22" s="13"/>
      <c r="D22" s="13"/>
      <c r="E22" s="13"/>
      <c r="F22" s="13"/>
      <c r="G22" s="13"/>
      <c r="H22" s="13"/>
      <c r="I22" s="13"/>
      <c r="J22" s="13"/>
    </row>
    <row r="23" spans="2:10" ht="22" customHeight="1" x14ac:dyDescent="0.2">
      <c r="B23" s="14"/>
      <c r="C23" s="14"/>
      <c r="D23" s="14"/>
      <c r="E23" s="14"/>
      <c r="F23" s="14"/>
      <c r="G23" s="14"/>
      <c r="H23" s="14"/>
      <c r="I23" s="14"/>
      <c r="J23" s="14"/>
    </row>
    <row r="24" spans="2:10" ht="22" customHeight="1" x14ac:dyDescent="0.2">
      <c r="B24" s="13"/>
      <c r="C24" s="13"/>
      <c r="D24" s="13"/>
      <c r="E24" s="13"/>
      <c r="F24" s="13"/>
      <c r="G24" s="13"/>
      <c r="H24" s="13"/>
      <c r="I24" s="13"/>
      <c r="J24" s="13"/>
    </row>
  </sheetData>
  <mergeCells count="2">
    <mergeCell ref="B2:J2"/>
    <mergeCell ref="B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0AE7-9304-B544-8B26-6205A62A2B40}">
  <dimension ref="B1:H12"/>
  <sheetViews>
    <sheetView showGridLines="0" tabSelected="1" workbookViewId="0">
      <selection activeCell="D21" sqref="D21"/>
    </sheetView>
  </sheetViews>
  <sheetFormatPr baseColWidth="10" defaultColWidth="8.83203125" defaultRowHeight="15" x14ac:dyDescent="0.2"/>
  <cols>
    <col min="2" max="2" width="24" customWidth="1"/>
    <col min="3" max="3" width="18" customWidth="1"/>
    <col min="4" max="5" width="24" customWidth="1"/>
    <col min="6" max="6" width="16" customWidth="1"/>
    <col min="7" max="7" width="14" customWidth="1"/>
    <col min="8" max="8" width="32" customWidth="1"/>
  </cols>
  <sheetData>
    <row r="1" spans="2:8" ht="36" customHeight="1" x14ac:dyDescent="0.2">
      <c r="B1" s="35" t="s">
        <v>108</v>
      </c>
      <c r="C1" s="34"/>
      <c r="D1" s="34"/>
      <c r="E1" s="34"/>
      <c r="F1" s="34"/>
      <c r="G1" s="34"/>
      <c r="H1" s="34"/>
    </row>
    <row r="2" spans="2:8" ht="20" customHeight="1" x14ac:dyDescent="0.2">
      <c r="B2" s="33" t="s">
        <v>30</v>
      </c>
      <c r="C2" s="34"/>
      <c r="D2" s="34"/>
      <c r="E2" s="34"/>
      <c r="F2" s="34"/>
      <c r="G2" s="34"/>
      <c r="H2" s="34"/>
    </row>
    <row r="3" spans="2:8" ht="10" customHeight="1" x14ac:dyDescent="0.2"/>
    <row r="4" spans="2:8" ht="28" customHeight="1" thickBot="1" x14ac:dyDescent="0.25">
      <c r="B4" s="1" t="s">
        <v>31</v>
      </c>
      <c r="C4" s="1" t="s">
        <v>3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10</v>
      </c>
    </row>
    <row r="5" spans="2:8" ht="22" customHeight="1" x14ac:dyDescent="0.2">
      <c r="B5" s="2" t="s">
        <v>110</v>
      </c>
      <c r="C5" s="3" t="s">
        <v>111</v>
      </c>
      <c r="D5" s="3" t="s">
        <v>112</v>
      </c>
      <c r="E5" s="3" t="s">
        <v>39</v>
      </c>
      <c r="F5" s="15" t="s">
        <v>40</v>
      </c>
      <c r="G5" s="16">
        <v>1</v>
      </c>
      <c r="H5" s="3"/>
    </row>
    <row r="6" spans="2:8" ht="22" customHeight="1" x14ac:dyDescent="0.2">
      <c r="B6" s="6" t="s">
        <v>113</v>
      </c>
      <c r="C6" s="7">
        <f>COUNTA(Candidatures!B5:B1048576)</f>
        <v>5</v>
      </c>
      <c r="D6" s="37">
        <v>1</v>
      </c>
      <c r="E6" s="7" t="s">
        <v>43</v>
      </c>
      <c r="F6" s="17" t="s">
        <v>44</v>
      </c>
      <c r="G6" s="18">
        <v>1</v>
      </c>
      <c r="H6" s="7" t="s">
        <v>45</v>
      </c>
    </row>
    <row r="7" spans="2:8" ht="22" customHeight="1" x14ac:dyDescent="0.2">
      <c r="B7" s="2" t="s">
        <v>16</v>
      </c>
      <c r="C7" s="3">
        <f>COUNTIF(Candidatures!H5:H10485, "En attente")</f>
        <v>1</v>
      </c>
      <c r="D7" s="38">
        <f>IFERROR(C7/C6,"-")</f>
        <v>0.2</v>
      </c>
      <c r="E7" s="3"/>
      <c r="F7" s="15" t="s">
        <v>40</v>
      </c>
      <c r="G7" s="19">
        <v>2</v>
      </c>
      <c r="H7" s="3"/>
    </row>
    <row r="8" spans="2:8" ht="22" customHeight="1" x14ac:dyDescent="0.2">
      <c r="B8" s="6" t="s">
        <v>114</v>
      </c>
      <c r="C8" s="7">
        <f>COUNTIF(Candidatures!H5:H10485, "Entretien 🔥")</f>
        <v>1</v>
      </c>
      <c r="D8" s="39">
        <f>IFERROR(C8/C6,"-")</f>
        <v>0.2</v>
      </c>
      <c r="E8" s="7" t="s">
        <v>50</v>
      </c>
      <c r="F8" s="20" t="s">
        <v>40</v>
      </c>
      <c r="G8" s="21">
        <v>3</v>
      </c>
      <c r="H8" s="7"/>
    </row>
    <row r="9" spans="2:8" ht="22" customHeight="1" x14ac:dyDescent="0.2">
      <c r="B9" s="2" t="s">
        <v>115</v>
      </c>
      <c r="C9" s="3">
        <f>COUNTIF(Candidatures!H5:H10485, "Refusé")</f>
        <v>1</v>
      </c>
      <c r="D9" s="38">
        <f>IFERROR(C9/C6,"-")</f>
        <v>0.2</v>
      </c>
      <c r="E9" s="3"/>
      <c r="F9" s="15"/>
      <c r="G9" s="3"/>
      <c r="H9" s="3"/>
    </row>
    <row r="10" spans="2:8" ht="22" customHeight="1" x14ac:dyDescent="0.2">
      <c r="B10" s="6" t="s">
        <v>116</v>
      </c>
      <c r="C10" s="7">
        <f>COUNTIF(Candidatures!H5:H10485,"Obtenu 🎉")</f>
        <v>1</v>
      </c>
      <c r="D10" s="39">
        <f>IFERROR(C10/C6,"-")</f>
        <v>0.2</v>
      </c>
      <c r="E10" s="7"/>
      <c r="F10" s="20"/>
      <c r="G10" s="7"/>
      <c r="H10" s="7"/>
    </row>
    <row r="11" spans="2:8" ht="22" customHeight="1" x14ac:dyDescent="0.2">
      <c r="B11" s="2" t="s">
        <v>25</v>
      </c>
      <c r="C11" s="3">
        <f>COUNTIF(Candidatures!H6:H10486,"Obtenu 🎉")</f>
        <v>1</v>
      </c>
      <c r="D11" s="38">
        <f>IFERROR(C11/C7,"-")</f>
        <v>1</v>
      </c>
      <c r="E11" s="3"/>
      <c r="F11" s="15"/>
      <c r="G11" s="3"/>
      <c r="H11" s="3"/>
    </row>
    <row r="12" spans="2:8" ht="22" customHeight="1" x14ac:dyDescent="0.2">
      <c r="B12" s="6"/>
      <c r="C12" s="7"/>
      <c r="D12" s="7"/>
      <c r="E12" s="7"/>
      <c r="F12" s="20"/>
      <c r="G12" s="7"/>
      <c r="H12" s="7"/>
    </row>
  </sheetData>
  <mergeCells count="2">
    <mergeCell ref="B1:H1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H12"/>
  <sheetViews>
    <sheetView showGridLines="0" workbookViewId="0">
      <selection activeCell="G5" sqref="G5"/>
    </sheetView>
  </sheetViews>
  <sheetFormatPr baseColWidth="10" defaultColWidth="8.83203125" defaultRowHeight="15" x14ac:dyDescent="0.2"/>
  <cols>
    <col min="2" max="2" width="24" customWidth="1"/>
    <col min="3" max="3" width="18" customWidth="1"/>
    <col min="4" max="5" width="24" customWidth="1"/>
    <col min="6" max="6" width="16" customWidth="1"/>
    <col min="7" max="7" width="14" customWidth="1"/>
    <col min="8" max="8" width="32" customWidth="1"/>
  </cols>
  <sheetData>
    <row r="1" spans="2:8" ht="36" customHeight="1" x14ac:dyDescent="0.2">
      <c r="B1" s="35" t="s">
        <v>29</v>
      </c>
      <c r="C1" s="34"/>
      <c r="D1" s="34"/>
      <c r="E1" s="34"/>
      <c r="F1" s="34"/>
      <c r="G1" s="34"/>
      <c r="H1" s="34"/>
    </row>
    <row r="2" spans="2:8" ht="20" customHeight="1" x14ac:dyDescent="0.2">
      <c r="B2" s="33" t="s">
        <v>30</v>
      </c>
      <c r="C2" s="34"/>
      <c r="D2" s="34"/>
      <c r="E2" s="34"/>
      <c r="F2" s="34"/>
      <c r="G2" s="34"/>
      <c r="H2" s="34"/>
    </row>
    <row r="3" spans="2:8" ht="10" customHeight="1" x14ac:dyDescent="0.2"/>
    <row r="4" spans="2:8" ht="28" customHeight="1" x14ac:dyDescent="0.2">
      <c r="B4" s="1" t="s">
        <v>31</v>
      </c>
      <c r="C4" s="1" t="s">
        <v>3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10</v>
      </c>
    </row>
    <row r="5" spans="2:8" ht="22" customHeight="1" x14ac:dyDescent="0.2">
      <c r="B5" s="2" t="s">
        <v>36</v>
      </c>
      <c r="C5" s="3" t="s">
        <v>37</v>
      </c>
      <c r="D5" s="3" t="s">
        <v>38</v>
      </c>
      <c r="E5" s="3" t="s">
        <v>39</v>
      </c>
      <c r="F5" s="15" t="s">
        <v>40</v>
      </c>
      <c r="G5" s="16">
        <v>1</v>
      </c>
      <c r="H5" s="3"/>
    </row>
    <row r="6" spans="2:8" ht="22" customHeight="1" x14ac:dyDescent="0.2">
      <c r="B6" s="6" t="s">
        <v>41</v>
      </c>
      <c r="C6" s="7" t="s">
        <v>26</v>
      </c>
      <c r="D6" s="7" t="s">
        <v>42</v>
      </c>
      <c r="E6" s="7" t="s">
        <v>43</v>
      </c>
      <c r="F6" s="17" t="s">
        <v>44</v>
      </c>
      <c r="G6" s="18">
        <v>1</v>
      </c>
      <c r="H6" s="7" t="s">
        <v>45</v>
      </c>
    </row>
    <row r="7" spans="2:8" ht="22" customHeight="1" x14ac:dyDescent="0.2">
      <c r="B7" s="2" t="s">
        <v>46</v>
      </c>
      <c r="C7" s="3" t="s">
        <v>21</v>
      </c>
      <c r="D7" s="3" t="s">
        <v>47</v>
      </c>
      <c r="E7" s="3"/>
      <c r="F7" s="15" t="s">
        <v>40</v>
      </c>
      <c r="G7" s="19">
        <v>2</v>
      </c>
      <c r="H7" s="3"/>
    </row>
    <row r="8" spans="2:8" ht="22" customHeight="1" x14ac:dyDescent="0.2">
      <c r="B8" s="6" t="s">
        <v>48</v>
      </c>
      <c r="C8" s="7" t="s">
        <v>24</v>
      </c>
      <c r="D8" s="7" t="s">
        <v>49</v>
      </c>
      <c r="E8" s="7" t="s">
        <v>50</v>
      </c>
      <c r="F8" s="20" t="s">
        <v>40</v>
      </c>
      <c r="G8" s="21">
        <v>3</v>
      </c>
      <c r="H8" s="7"/>
    </row>
    <row r="9" spans="2:8" ht="22" customHeight="1" x14ac:dyDescent="0.2">
      <c r="B9" s="2"/>
      <c r="C9" s="3"/>
      <c r="D9" s="3"/>
      <c r="E9" s="3"/>
      <c r="F9" s="15"/>
      <c r="G9" s="3"/>
      <c r="H9" s="3"/>
    </row>
    <row r="10" spans="2:8" ht="22" customHeight="1" x14ac:dyDescent="0.2">
      <c r="B10" s="6"/>
      <c r="C10" s="7"/>
      <c r="D10" s="7"/>
      <c r="E10" s="7"/>
      <c r="F10" s="20"/>
      <c r="G10" s="7"/>
      <c r="H10" s="7"/>
    </row>
    <row r="11" spans="2:8" ht="22" customHeight="1" x14ac:dyDescent="0.2">
      <c r="B11" s="2"/>
      <c r="C11" s="3"/>
      <c r="D11" s="3"/>
      <c r="E11" s="3"/>
      <c r="F11" s="15"/>
      <c r="G11" s="3"/>
      <c r="H11" s="3"/>
    </row>
    <row r="12" spans="2:8" ht="22" customHeight="1" x14ac:dyDescent="0.2">
      <c r="B12" s="6"/>
      <c r="C12" s="7"/>
      <c r="D12" s="7"/>
      <c r="E12" s="7"/>
      <c r="F12" s="20"/>
      <c r="G12" s="7"/>
      <c r="H12" s="7"/>
    </row>
  </sheetData>
  <mergeCells count="2">
    <mergeCell ref="B2:H2"/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D19"/>
  <sheetViews>
    <sheetView showGridLines="0" workbookViewId="0">
      <selection activeCell="C15" sqref="C15"/>
    </sheetView>
  </sheetViews>
  <sheetFormatPr baseColWidth="10" defaultColWidth="8.83203125" defaultRowHeight="15" x14ac:dyDescent="0.2"/>
  <cols>
    <col min="2" max="2" width="18" customWidth="1"/>
    <col min="3" max="3" width="28" customWidth="1"/>
    <col min="4" max="4" width="58" customWidth="1"/>
  </cols>
  <sheetData>
    <row r="1" spans="2:4" ht="32" customHeight="1" x14ac:dyDescent="0.2">
      <c r="B1" s="36" t="s">
        <v>76</v>
      </c>
      <c r="C1" s="34"/>
      <c r="D1" s="34"/>
    </row>
    <row r="2" spans="2:4" ht="10" customHeight="1" x14ac:dyDescent="0.2">
      <c r="B2" s="23"/>
      <c r="C2" s="23"/>
      <c r="D2" s="24"/>
    </row>
    <row r="3" spans="2:4" ht="22" customHeight="1" x14ac:dyDescent="0.2">
      <c r="B3" s="25" t="s">
        <v>77</v>
      </c>
      <c r="C3" s="25" t="s">
        <v>78</v>
      </c>
      <c r="D3" s="26" t="s">
        <v>79</v>
      </c>
    </row>
    <row r="4" spans="2:4" ht="22" customHeight="1" x14ac:dyDescent="0.2">
      <c r="B4" s="25" t="s">
        <v>77</v>
      </c>
      <c r="C4" s="25" t="s">
        <v>80</v>
      </c>
      <c r="D4" s="26" t="s">
        <v>81</v>
      </c>
    </row>
    <row r="5" spans="2:4" ht="22" customHeight="1" x14ac:dyDescent="0.2">
      <c r="B5" s="25" t="s">
        <v>77</v>
      </c>
      <c r="C5" s="25" t="s">
        <v>82</v>
      </c>
      <c r="D5" s="26" t="s">
        <v>83</v>
      </c>
    </row>
    <row r="6" spans="2:4" ht="22" customHeight="1" x14ac:dyDescent="0.2">
      <c r="B6" s="25" t="s">
        <v>77</v>
      </c>
      <c r="C6" s="25" t="s">
        <v>84</v>
      </c>
      <c r="D6" s="26" t="s">
        <v>85</v>
      </c>
    </row>
    <row r="7" spans="2:4" ht="10" customHeight="1" x14ac:dyDescent="0.2">
      <c r="B7" s="23"/>
      <c r="C7" s="23"/>
      <c r="D7" s="24"/>
    </row>
    <row r="8" spans="2:4" ht="22" customHeight="1" x14ac:dyDescent="0.2">
      <c r="B8" s="27" t="s">
        <v>86</v>
      </c>
      <c r="C8" s="27" t="s">
        <v>87</v>
      </c>
      <c r="D8" s="28" t="s">
        <v>88</v>
      </c>
    </row>
    <row r="9" spans="2:4" ht="22" customHeight="1" x14ac:dyDescent="0.2">
      <c r="B9" s="27" t="s">
        <v>86</v>
      </c>
      <c r="C9" s="27" t="s">
        <v>89</v>
      </c>
      <c r="D9" s="28" t="s">
        <v>90</v>
      </c>
    </row>
    <row r="10" spans="2:4" ht="22" customHeight="1" x14ac:dyDescent="0.2">
      <c r="B10" s="27" t="s">
        <v>86</v>
      </c>
      <c r="C10" s="27" t="s">
        <v>91</v>
      </c>
      <c r="D10" s="28" t="s">
        <v>92</v>
      </c>
    </row>
    <row r="11" spans="2:4" ht="10" customHeight="1" x14ac:dyDescent="0.2">
      <c r="B11" s="23"/>
      <c r="C11" s="23"/>
      <c r="D11" s="24"/>
    </row>
    <row r="12" spans="2:4" ht="22" customHeight="1" x14ac:dyDescent="0.2">
      <c r="B12" s="29" t="s">
        <v>93</v>
      </c>
      <c r="C12" s="29" t="s">
        <v>94</v>
      </c>
      <c r="D12" s="30" t="s">
        <v>95</v>
      </c>
    </row>
    <row r="13" spans="2:4" ht="22" customHeight="1" x14ac:dyDescent="0.2">
      <c r="B13" s="29" t="s">
        <v>93</v>
      </c>
      <c r="C13" s="29" t="s">
        <v>73</v>
      </c>
      <c r="D13" s="30" t="s">
        <v>96</v>
      </c>
    </row>
    <row r="14" spans="2:4" ht="22" customHeight="1" x14ac:dyDescent="0.2">
      <c r="B14" s="29" t="s">
        <v>93</v>
      </c>
      <c r="C14" s="29" t="s">
        <v>97</v>
      </c>
      <c r="D14" s="30" t="s">
        <v>98</v>
      </c>
    </row>
    <row r="15" spans="2:4" ht="10" customHeight="1" x14ac:dyDescent="0.2">
      <c r="B15" s="23"/>
      <c r="C15" s="23"/>
      <c r="D15" s="24"/>
    </row>
    <row r="16" spans="2:4" ht="22" customHeight="1" x14ac:dyDescent="0.2">
      <c r="B16" s="31" t="s">
        <v>99</v>
      </c>
      <c r="C16" s="31" t="s">
        <v>100</v>
      </c>
      <c r="D16" s="32" t="s">
        <v>101</v>
      </c>
    </row>
    <row r="17" spans="2:4" ht="22" customHeight="1" x14ac:dyDescent="0.2">
      <c r="B17" s="31" t="s">
        <v>99</v>
      </c>
      <c r="C17" s="31" t="s">
        <v>102</v>
      </c>
      <c r="D17" s="32" t="s">
        <v>103</v>
      </c>
    </row>
    <row r="18" spans="2:4" ht="22" customHeight="1" x14ac:dyDescent="0.2">
      <c r="B18" s="31" t="s">
        <v>99</v>
      </c>
      <c r="C18" s="31" t="s">
        <v>104</v>
      </c>
      <c r="D18" s="32" t="s">
        <v>105</v>
      </c>
    </row>
    <row r="19" spans="2:4" ht="22" customHeight="1" x14ac:dyDescent="0.2">
      <c r="B19" s="31" t="s">
        <v>99</v>
      </c>
      <c r="C19" s="31" t="s">
        <v>106</v>
      </c>
      <c r="D19" s="32" t="s">
        <v>107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Candidatures</vt:lpstr>
      <vt:lpstr>Réseau</vt:lpstr>
      <vt:lpstr>Dashboard</vt:lpstr>
      <vt:lpstr>Wishlist</vt:lpstr>
      <vt:lpstr>Conseils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RECHE</cp:lastModifiedBy>
  <dcterms:created xsi:type="dcterms:W3CDTF">2026-04-24T22:42:40Z</dcterms:created>
  <dcterms:modified xsi:type="dcterms:W3CDTF">2026-04-25T09:27:03Z</dcterms:modified>
</cp:coreProperties>
</file>